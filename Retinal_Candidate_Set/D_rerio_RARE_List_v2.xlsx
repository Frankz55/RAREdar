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726"/>
  <workbookPr/>
  <mc:AlternateContent xmlns:mc="http://schemas.openxmlformats.org/markup-compatibility/2006">
    <mc:Choice Requires="x15">
      <x15ac:absPath xmlns:x15ac="http://schemas.microsoft.com/office/spreadsheetml/2010/11/ac" url="C:\Users\z270p-d3\Documents\GitHub\RAREdar\Retinal_Candidate_Set\"/>
    </mc:Choice>
  </mc:AlternateContent>
  <xr:revisionPtr revIDLastSave="0" documentId="13_ncr:1_{2D4BE9D1-2BF0-4B86-8681-53017D07E18D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Sheet1" sheetId="1" r:id="rId1"/>
  </sheets>
  <definedNames>
    <definedName name="_xlnm._FilterDatabase" localSheetId="0" hidden="1">Sheet1!$A$1:$J$63</definedName>
    <definedName name="_xlchart.v1.0" hidden="1">Sheet1!$G$1</definedName>
    <definedName name="_xlchart.v1.1" hidden="1">Sheet1!$G$2:$G$64</definedName>
    <definedName name="_xlchart.v1.10" hidden="1">Sheet1!$K$22</definedName>
    <definedName name="_xlchart.v1.11" hidden="1">Sheet1!$G$1</definedName>
    <definedName name="_xlchart.v1.12" hidden="1">Sheet1!$G$2:$G$64</definedName>
    <definedName name="_xlchart.v1.13" hidden="1">Sheet1!$H$1</definedName>
    <definedName name="_xlchart.v1.14" hidden="1">Sheet1!$H$2:$H$64</definedName>
    <definedName name="_xlchart.v1.15" hidden="1">Sheet1!$K$4</definedName>
    <definedName name="_xlchart.v1.16" hidden="1">Sheet1!$I$1</definedName>
    <definedName name="_xlchart.v1.17" hidden="1">Sheet1!$I$2:$I$64</definedName>
    <definedName name="_xlchart.v1.18" hidden="1">Sheet1!$G$1</definedName>
    <definedName name="_xlchart.v1.19" hidden="1">Sheet1!$G$2:$G$64</definedName>
    <definedName name="_xlchart.v1.2" hidden="1">Sheet1!$H$1</definedName>
    <definedName name="_xlchart.v1.20" hidden="1">Sheet1!$H$1</definedName>
    <definedName name="_xlchart.v1.21" hidden="1">Sheet1!$H$2:$H$64</definedName>
    <definedName name="_xlchart.v1.22" hidden="1">Sheet1!$K$4</definedName>
    <definedName name="_xlchart.v1.23" hidden="1">Sheet1!$G$1</definedName>
    <definedName name="_xlchart.v1.24" hidden="1">Sheet1!$G$2:$G$64</definedName>
    <definedName name="_xlchart.v1.25" hidden="1">Sheet1!$H$1</definedName>
    <definedName name="_xlchart.v1.26" hidden="1">Sheet1!$H$2:$H$64</definedName>
    <definedName name="_xlchart.v1.27" hidden="1">Sheet1!$K$4</definedName>
    <definedName name="_xlchart.v1.28" hidden="1">Sheet1!$G$1</definedName>
    <definedName name="_xlchart.v1.29" hidden="1">Sheet1!$G$2:$G$64</definedName>
    <definedName name="_xlchart.v1.3" hidden="1">Sheet1!$H$2:$H$64</definedName>
    <definedName name="_xlchart.v1.30" hidden="1">Sheet1!$H$1</definedName>
    <definedName name="_xlchart.v1.31" hidden="1">Sheet1!$H$2:$H$64</definedName>
    <definedName name="_xlchart.v1.32" hidden="1">Sheet1!$J$1</definedName>
    <definedName name="_xlchart.v1.33" hidden="1">Sheet1!$J$1:$J$63</definedName>
    <definedName name="_xlchart.v1.34" hidden="1">Sheet1!$J$2:$J$63</definedName>
    <definedName name="_xlchart.v1.35" hidden="1">Sheet1!$J$2:$J$64</definedName>
    <definedName name="_xlchart.v1.36" hidden="1">Sheet1!$J$64</definedName>
    <definedName name="_xlchart.v1.37" hidden="1">Sheet1!$K$4</definedName>
    <definedName name="_xlchart.v1.38" hidden="1">Sheet1!$I$1</definedName>
    <definedName name="_xlchart.v1.39" hidden="1">Sheet1!$I$2:$I$64</definedName>
    <definedName name="_xlchart.v1.4" hidden="1">Sheet1!$J$1</definedName>
    <definedName name="_xlchart.v1.40" hidden="1">Sheet1!$I$1</definedName>
    <definedName name="_xlchart.v1.41" hidden="1">Sheet1!$I$2:$I$64</definedName>
    <definedName name="_xlchart.v1.5" hidden="1">Sheet1!$J$1:$J$63</definedName>
    <definedName name="_xlchart.v1.6" hidden="1">Sheet1!$J$2:$J$63</definedName>
    <definedName name="_xlchart.v1.7" hidden="1">Sheet1!$J$2:$J$64</definedName>
    <definedName name="_xlchart.v1.8" hidden="1">Sheet1!$J$64</definedName>
    <definedName name="_xlchart.v1.9" hidden="1">Sheet1!$K$4</definedName>
    <definedName name="RAREdar_Results" localSheetId="0">Sheet1!$A$1:$F$63</definedName>
  </definedNames>
  <calcPr calcId="191029" concurrentCalc="0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3" i="1" l="1"/>
  <c r="J3" i="1"/>
  <c r="H4" i="1"/>
  <c r="J4" i="1"/>
  <c r="H5" i="1"/>
  <c r="J5" i="1"/>
  <c r="H6" i="1"/>
  <c r="J6" i="1"/>
  <c r="H7" i="1"/>
  <c r="J7" i="1"/>
  <c r="H8" i="1"/>
  <c r="J8" i="1"/>
  <c r="H9" i="1"/>
  <c r="J9" i="1"/>
  <c r="H10" i="1"/>
  <c r="J10" i="1"/>
  <c r="H11" i="1"/>
  <c r="J11" i="1"/>
  <c r="H12" i="1"/>
  <c r="J12" i="1"/>
  <c r="H13" i="1"/>
  <c r="J13" i="1"/>
  <c r="H14" i="1"/>
  <c r="J14" i="1"/>
  <c r="H15" i="1"/>
  <c r="J15" i="1"/>
  <c r="H16" i="1"/>
  <c r="J16" i="1"/>
  <c r="H17" i="1"/>
  <c r="J17" i="1"/>
  <c r="H18" i="1"/>
  <c r="J18" i="1"/>
  <c r="H19" i="1"/>
  <c r="J19" i="1"/>
  <c r="H20" i="1"/>
  <c r="J20" i="1"/>
  <c r="H21" i="1"/>
  <c r="J21" i="1"/>
  <c r="H22" i="1"/>
  <c r="J22" i="1"/>
  <c r="H23" i="1"/>
  <c r="J23" i="1"/>
  <c r="H24" i="1"/>
  <c r="J24" i="1"/>
  <c r="H25" i="1"/>
  <c r="J25" i="1"/>
  <c r="H26" i="1"/>
  <c r="J26" i="1"/>
  <c r="H27" i="1"/>
  <c r="J27" i="1"/>
  <c r="H28" i="1"/>
  <c r="J28" i="1"/>
  <c r="H29" i="1"/>
  <c r="J29" i="1"/>
  <c r="H30" i="1"/>
  <c r="J30" i="1"/>
  <c r="H31" i="1"/>
  <c r="J31" i="1"/>
  <c r="H32" i="1"/>
  <c r="J32" i="1"/>
  <c r="H33" i="1"/>
  <c r="J33" i="1"/>
  <c r="H34" i="1"/>
  <c r="J34" i="1"/>
  <c r="H35" i="1"/>
  <c r="J35" i="1"/>
  <c r="H36" i="1"/>
  <c r="J36" i="1"/>
  <c r="H37" i="1"/>
  <c r="J37" i="1"/>
  <c r="H38" i="1"/>
  <c r="J38" i="1"/>
  <c r="H39" i="1"/>
  <c r="J39" i="1"/>
  <c r="H40" i="1"/>
  <c r="J40" i="1"/>
  <c r="H41" i="1"/>
  <c r="J41" i="1"/>
  <c r="H42" i="1"/>
  <c r="J42" i="1"/>
  <c r="H43" i="1"/>
  <c r="J43" i="1"/>
  <c r="H44" i="1"/>
  <c r="J44" i="1"/>
  <c r="H45" i="1"/>
  <c r="J45" i="1"/>
  <c r="H46" i="1"/>
  <c r="J46" i="1"/>
  <c r="H47" i="1"/>
  <c r="J47" i="1"/>
  <c r="H48" i="1"/>
  <c r="J48" i="1"/>
  <c r="H49" i="1"/>
  <c r="J49" i="1"/>
  <c r="H50" i="1"/>
  <c r="J50" i="1"/>
  <c r="H51" i="1"/>
  <c r="J51" i="1"/>
  <c r="H52" i="1"/>
  <c r="J52" i="1"/>
  <c r="H53" i="1"/>
  <c r="J53" i="1"/>
  <c r="H54" i="1"/>
  <c r="J54" i="1"/>
  <c r="H55" i="1"/>
  <c r="J55" i="1"/>
  <c r="H56" i="1"/>
  <c r="J56" i="1"/>
  <c r="H57" i="1"/>
  <c r="J57" i="1"/>
  <c r="H58" i="1"/>
  <c r="J58" i="1"/>
  <c r="H59" i="1"/>
  <c r="J59" i="1"/>
  <c r="H60" i="1"/>
  <c r="J60" i="1"/>
  <c r="H61" i="1"/>
  <c r="J61" i="1"/>
  <c r="H62" i="1"/>
  <c r="J62" i="1"/>
  <c r="H63" i="1"/>
  <c r="J63" i="1"/>
  <c r="H2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RAREdar_Results" type="6" refreshedVersion="0" background="1" saveData="1">
    <textPr fileType="mac" sourceFile="/Users/frankz55/Documents/GitHub/RAREdar/output/RAREdar_Results.txt">
      <textFields count="6"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<sst xmlns="http://schemas.openxmlformats.org/spreadsheetml/2006/main" count="320" uniqueCount="142">
  <si>
    <t>Chromosome</t>
  </si>
  <si>
    <t>Gene</t>
  </si>
  <si>
    <t>Mode</t>
  </si>
  <si>
    <t>Coordinate</t>
  </si>
  <si>
    <t>chr2</t>
  </si>
  <si>
    <t>&gt;danRer11_ncbiRefSeq_NM_001128716.1</t>
  </si>
  <si>
    <t>Forward Coding</t>
  </si>
  <si>
    <t>ACTTGTCAAAAACTTGT</t>
  </si>
  <si>
    <t>&gt;danRer11_ncbiRefSeq_XM_017352575.2</t>
  </si>
  <si>
    <t>Forward Complement</t>
  </si>
  <si>
    <t>TGAACTTCAGCTGAACT</t>
  </si>
  <si>
    <t>ACTTGAAGTCGACTTGA</t>
  </si>
  <si>
    <t>chr4</t>
  </si>
  <si>
    <t>&gt;danRer11_ncbiRefSeq_XM_009300248.3</t>
  </si>
  <si>
    <t>ACTTGGCTGAGACTTGG</t>
  </si>
  <si>
    <t>chr5</t>
  </si>
  <si>
    <t>&gt;danRer11_ncbiRefSeq_NM_131099.2</t>
  </si>
  <si>
    <t>TGACCCTGGCATGACCC</t>
  </si>
  <si>
    <t>ACTGGGACCGTACTGGG</t>
  </si>
  <si>
    <t>chr7</t>
  </si>
  <si>
    <t>&gt;danRer11_ncbiRefSeq_NM_001017655.1</t>
  </si>
  <si>
    <t>Reversed Coding</t>
  </si>
  <si>
    <t>TGTTCAATGTTTGTTCA</t>
  </si>
  <si>
    <t>ACTTGTTTGTAACTTGT</t>
  </si>
  <si>
    <t>Reversed Complement</t>
  </si>
  <si>
    <t>CCCAGTTTTGTCCCAGT</t>
  </si>
  <si>
    <t>ACTGGGACAAAACTGGG</t>
  </si>
  <si>
    <t>&gt;danRer11_ncbiRefSeq_NM_001128745.1</t>
  </si>
  <si>
    <t>TGTTCAAATATTGTTCA</t>
  </si>
  <si>
    <t>ACTTGTTATAAACTTGT</t>
  </si>
  <si>
    <t>&gt;danRer11_ncbiRefSeq_XM_021478078.1</t>
  </si>
  <si>
    <t>AGATCATCAGCAGATCA</t>
  </si>
  <si>
    <t>ACTAGACGACTACTAGA</t>
  </si>
  <si>
    <t>TGATCAATAACTGATCA</t>
  </si>
  <si>
    <t>ACTAGTTATTGACTAGT</t>
  </si>
  <si>
    <t>TGATCAATAGCTGATCA</t>
  </si>
  <si>
    <t>ACTAGTTATCGACTAGT</t>
  </si>
  <si>
    <t>chr8</t>
  </si>
  <si>
    <t>&gt;danRer11_ncbiRefSeq_NM_001040010.3</t>
  </si>
  <si>
    <t>TGAACTAACAATGAACT</t>
  </si>
  <si>
    <t>ACTTGATTGTTACTTGA</t>
  </si>
  <si>
    <t>TGTTCAAGTATTGTTCA</t>
  </si>
  <si>
    <t>ACTTGTTATGAACTTGT</t>
  </si>
  <si>
    <t>&gt;danRer11_ncbiRefSeq_NM_001122973.1</t>
  </si>
  <si>
    <t>TGGTCAATGGATGGTCA</t>
  </si>
  <si>
    <t>ACTGGTAGGTAACTGGT</t>
  </si>
  <si>
    <t>chr9</t>
  </si>
  <si>
    <t>&gt;danRer11_ncbiRefSeq_NM_152941.1</t>
  </si>
  <si>
    <t>ACTTGTATTGTACTTGT</t>
  </si>
  <si>
    <t>&gt;danRer11_ncbiRefSeq_XM_021478967.1</t>
  </si>
  <si>
    <t>TCAAGTAAATGTCAAGT</t>
  </si>
  <si>
    <t>ACTTGACATTTACTTGA</t>
  </si>
  <si>
    <t>chr10</t>
  </si>
  <si>
    <t>&gt;danRer11_ncbiRefSeq_XM_001919935.7</t>
  </si>
  <si>
    <t>AGTTCATTGTTAGTTCA</t>
  </si>
  <si>
    <t>chr11</t>
  </si>
  <si>
    <t>&gt;danRer11_ncbiRefSeq_NM_001098765.1</t>
  </si>
  <si>
    <t>TGTTCATTGTTTGTTCA</t>
  </si>
  <si>
    <t>ACTTGTTTGTTACTTGT</t>
  </si>
  <si>
    <t>&gt;danRer11_ncbiRefSeq_NM_212914.1</t>
  </si>
  <si>
    <t>AGGTCAGTGTGAGGTCA</t>
  </si>
  <si>
    <t>ACTGGAGTGTGACTGGA</t>
  </si>
  <si>
    <t>&gt;danRer11_ncbiRefSeq_XM_009306092.3</t>
  </si>
  <si>
    <t>ACTAGAAAACTACTAGA</t>
  </si>
  <si>
    <t>&gt;danRer11_ncbiRefSeq_XM_690492.7</t>
  </si>
  <si>
    <t>CCCAGTTTAGGCCCAGT</t>
  </si>
  <si>
    <t>ACTGGGCCTAAACTGGG</t>
  </si>
  <si>
    <t>chr15</t>
  </si>
  <si>
    <t>&gt;danRer11_ncbiRefSeq_XM_009291474.3</t>
  </si>
  <si>
    <t>GGTTCACTCATGGTTCA</t>
  </si>
  <si>
    <t>ACTTGGTACTCACTTGG</t>
  </si>
  <si>
    <t>ACTGGTTAAAAACTGGT</t>
  </si>
  <si>
    <t>chr17</t>
  </si>
  <si>
    <t>&gt;danRer11_ncbiRefSeq_NM_001045376.1</t>
  </si>
  <si>
    <t>ACTGGAAAACAACTGGA</t>
  </si>
  <si>
    <t>TCAAGTCTACCTCAAGT</t>
  </si>
  <si>
    <t>ACTTGAGGTAGACTTGA</t>
  </si>
  <si>
    <t>&gt;danRer11_ncbiRefSeq_NM_131462.2</t>
  </si>
  <si>
    <t>TGACCAGAGGATGACCA</t>
  </si>
  <si>
    <t>ACTGGTCTCCTACTGGT</t>
  </si>
  <si>
    <t>chr19</t>
  </si>
  <si>
    <t>&gt;danRer11_ncbiRefSeq_NM_001044892.1</t>
  </si>
  <si>
    <t>TGTTCACCCCATGTTCA</t>
  </si>
  <si>
    <t>ACTTGTACCCCACTTGT</t>
  </si>
  <si>
    <t>ACTAGAAGAGAACTAGA</t>
  </si>
  <si>
    <t>&gt;danRer11_ncbiRefSeq_XM_003200566.5</t>
  </si>
  <si>
    <t>TGACCACTGGGTGACCA</t>
  </si>
  <si>
    <t>ACTGGTGACCCACTGGT</t>
  </si>
  <si>
    <t>ACTTGTTTGGGACTTGT</t>
  </si>
  <si>
    <t>TGACCCAGGGTTGACCC</t>
  </si>
  <si>
    <t>ACTGGGTCCCAACTGGG</t>
  </si>
  <si>
    <t>AGTTCACTGTAAGTTCA</t>
  </si>
  <si>
    <t>ACTTGAATGTCACTTGA</t>
  </si>
  <si>
    <t>&gt;danRer11_ncbiRefSeq_XM_005159461.4</t>
  </si>
  <si>
    <t>chr21</t>
  </si>
  <si>
    <t>&gt;danRer11_ncbiRefSeq_NM_001037379.1</t>
  </si>
  <si>
    <t>&gt;danRer11_ncbiRefSeq_NM_001110377.1</t>
  </si>
  <si>
    <t>ACTTGTCAATAACTTGT</t>
  </si>
  <si>
    <t>chr22</t>
  </si>
  <si>
    <t>&gt;danRer11_ncbiRefSeq_NM_131225.2</t>
  </si>
  <si>
    <t>TCCAGTGCCACTCCAGT</t>
  </si>
  <si>
    <t>ACTGGAGTGGCACTGGA</t>
  </si>
  <si>
    <t>chr23</t>
  </si>
  <si>
    <t>&gt;danRer11_ncbiRefSeq_NM_001077146.1</t>
  </si>
  <si>
    <t>AGTTCACCTCAAGTTCA</t>
  </si>
  <si>
    <t>ACTTGAACTCCACTTGA</t>
  </si>
  <si>
    <t>&gt;danRer11_ncbiRefSeq_XM_005170605.3</t>
  </si>
  <si>
    <t>TGTTCAGTTTATGTTCA</t>
  </si>
  <si>
    <t>ACTTGTATTTGACTTGT</t>
  </si>
  <si>
    <t>TGTTCAGATAATGTTCA</t>
  </si>
  <si>
    <t>ACTTGTAATAGACTTGT</t>
  </si>
  <si>
    <t>TGTTCAAGCTATGTTCA</t>
  </si>
  <si>
    <t>ACTTGTATCGAACTTGT</t>
  </si>
  <si>
    <t>TGTTCAGGCTATGTTCA</t>
  </si>
  <si>
    <t>ACTTGTATCGGACTTGT</t>
  </si>
  <si>
    <t>&gt;danRer11_ncbiRefSeq_XM_009296625.3</t>
  </si>
  <si>
    <t>CCCAGTTCAGGCCCAGT</t>
  </si>
  <si>
    <t>ACTGGGCCTGAACTGGG</t>
  </si>
  <si>
    <t>chr24</t>
  </si>
  <si>
    <t>&gt;danRer11_ncbiRefSeq_XM_005162751.4</t>
  </si>
  <si>
    <t>ACTGGAGAAAAACTGGA</t>
  </si>
  <si>
    <t>ACTAGTTTTTAACTAGT</t>
  </si>
  <si>
    <t>&gt;danRer11_ncbiRefSeq_XM_009297280.3</t>
  </si>
  <si>
    <t>AGTTCACTCAAAGTTCA</t>
  </si>
  <si>
    <t>ACTTGAAACTCACTTGA</t>
  </si>
  <si>
    <t>GGTTCAGGGTGGGTTCA</t>
  </si>
  <si>
    <t>ACTTGGGTGGGACTTGG</t>
  </si>
  <si>
    <t>&gt;danRer11_ncbiRefSeq_XM_017353999.2</t>
  </si>
  <si>
    <t>ACTGGAACTTGACTGGA</t>
  </si>
  <si>
    <t>chr25</t>
  </si>
  <si>
    <t>&gt;danRer11_ncbiRefSeq_NM_001045312.1</t>
  </si>
  <si>
    <t>chr9_KZ115296v1_alt</t>
  </si>
  <si>
    <t>&gt;danRer11_ncbiRefSeq_XM_001336727.8</t>
  </si>
  <si>
    <t>chr11_KZ115360v1_alt</t>
  </si>
  <si>
    <t>chr21_KZ115624v1_alt</t>
  </si>
  <si>
    <t>chr25_KZ115740v1_alt</t>
  </si>
  <si>
    <t>Original Sequence</t>
  </si>
  <si>
    <t>Sense Sequence</t>
  </si>
  <si>
    <t>TSS</t>
  </si>
  <si>
    <t>Distance to TSS</t>
  </si>
  <si>
    <t>Log10 D2T</t>
  </si>
  <si>
    <t>Distance to TSS &lt;10000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</si>
</sst>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_xlchart.v1.7</cx:f>
      </cx:numDim>
    </cx:data>
  </cx:chartData>
  <cx:chart>
    <cx:title pos="t" align="ctr" overlay="0">
      <cx:tx>
        <cx:txData>
          <cx:v>Distribution of RARE Distance to TSS (&lt;10000)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Distribution of RARE Distance to TSS (&lt;10000)</a:t>
          </a:r>
        </a:p>
      </cx:txPr>
    </cx:title>
    <cx:plotArea>
      <cx:plotAreaRegion>
        <cx:series layoutId="clusteredColumn" uniqueId="{A4AC065E-39D5-4D18-BAD6-6584D3F30587}">
          <cx:tx>
            <cx:txData>
              <cx:f>_xlchart.v1.4</cx:f>
              <cx:v>Distance to TSS &lt;10000</cx:v>
            </cx:txData>
          </cx:tx>
          <cx:dataId val="0"/>
          <cx:layoutPr>
            <cx:binning intervalClosed="r" underflow="1000" overflow="10000">
              <cx:binSize val="1000"/>
            </cx:binning>
          </cx:layoutPr>
        </cx:series>
      </cx:plotAreaRegion>
      <cx:axis id="0">
        <cx:catScaling gapWidth="0"/>
        <cx:title>
          <cx:tx>
            <cx:txData>
              <cx:v>Distance to TSS (bp)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Distance to TSS (bp)</a:t>
              </a:r>
            </a:p>
          </cx:txPr>
        </cx:title>
        <cx:tickLabels/>
        <cx:numFmt formatCode="General" sourceLinked="0"/>
      </cx:axis>
      <cx:axis id="1">
        <cx:valScaling/>
        <cx:title>
          <cx:tx>
            <cx:txData>
              <cx:v>Number of RAREs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Number of RAREs</a:t>
              </a:r>
            </a:p>
          </cx:txPr>
        </cx:title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_xlchart.v1.39</cx:f>
      </cx:numDim>
    </cx:data>
  </cx:chartData>
  <cx:chart>
    <cx:title pos="t" align="ctr" overlay="0">
      <cx:tx>
        <cx:txData>
          <cx:v>Distribution of RARE Distance to TSS (Log10)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Distribution of RARE Distance to TSS (Log10)</a:t>
          </a:r>
        </a:p>
      </cx:txPr>
    </cx:title>
    <cx:plotArea>
      <cx:plotAreaRegion>
        <cx:series layoutId="clusteredColumn" uniqueId="{4923FD3A-77E2-4402-8591-12DE048994FB}">
          <cx:tx>
            <cx:txData>
              <cx:f>_xlchart.v1.38</cx:f>
              <cx:v>Log10 D2T</cx:v>
            </cx:txData>
          </cx:tx>
          <cx:dataId val="0"/>
          <cx:layoutPr>
            <cx:binning intervalClosed="r" underflow="4" overflow="5">
              <cx:binSize val="0.10000000000000001"/>
            </cx:binning>
          </cx:layoutPr>
        </cx:series>
      </cx:plotAreaRegion>
      <cx:axis id="0">
        <cx:catScaling gapWidth="0"/>
        <cx:title>
          <cx:tx>
            <cx:txData>
              <cx:v>Log10(Distance to TSS(bp))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Log10(Distance to TSS(bp))</a:t>
              </a:r>
            </a:p>
          </cx:txPr>
        </cx:title>
        <cx:tickLabels/>
      </cx:axis>
      <cx:axis id="1">
        <cx:valScaling/>
        <cx:title>
          <cx:tx>
            <cx:txData>
              <cx:v>Number of RAREs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Number of RAREs</a:t>
              </a:r>
            </a:p>
          </cx:txPr>
        </cx:title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microsoft.com/office/2014/relationships/chartEx" Target="../charts/chartEx2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500062</xdr:colOff>
      <xdr:row>64</xdr:row>
      <xdr:rowOff>161924</xdr:rowOff>
    </xdr:from>
    <xdr:to>
      <xdr:col>16</xdr:col>
      <xdr:colOff>85725</xdr:colOff>
      <xdr:row>95</xdr:row>
      <xdr:rowOff>104775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7E05A2AA-7569-7609-428C-BAE2CC154AE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224962" y="12963524"/>
              <a:ext cx="9539288" cy="614362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</xdr:col>
      <xdr:colOff>14287</xdr:colOff>
      <xdr:row>64</xdr:row>
      <xdr:rowOff>161925</xdr:rowOff>
    </xdr:from>
    <xdr:to>
      <xdr:col>11</xdr:col>
      <xdr:colOff>800100</xdr:colOff>
      <xdr:row>95</xdr:row>
      <xdr:rowOff>114300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D099AB9-C3EF-730C-3A37-0C74D0D3434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29287" y="12963525"/>
              <a:ext cx="9558338" cy="6153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AREdar_Results" connectionId="1" xr16:uid="{00000000-0016-0000-0000-000000000000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3"/>
  <sheetViews>
    <sheetView tabSelected="1" showRuler="0" topLeftCell="C61" workbookViewId="0">
      <selection activeCell="L18" sqref="L18"/>
    </sheetView>
  </sheetViews>
  <sheetFormatPr defaultColWidth="11" defaultRowHeight="15.75" x14ac:dyDescent="0.25"/>
  <cols>
    <col min="1" max="1" width="19.875" bestFit="1" customWidth="1"/>
    <col min="2" max="2" width="35.625" bestFit="1" customWidth="1"/>
    <col min="3" max="3" width="19.5" bestFit="1" customWidth="1"/>
    <col min="4" max="4" width="10.125" bestFit="1" customWidth="1"/>
    <col min="5" max="5" width="29.375" bestFit="1" customWidth="1"/>
    <col min="6" max="6" width="20.6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136</v>
      </c>
      <c r="F1" t="s">
        <v>137</v>
      </c>
      <c r="G1" t="s">
        <v>138</v>
      </c>
      <c r="H1" t="s">
        <v>139</v>
      </c>
      <c r="I1" t="s">
        <v>140</v>
      </c>
      <c r="J1" t="s">
        <v>141</v>
      </c>
    </row>
    <row r="2" spans="1:10" x14ac:dyDescent="0.25">
      <c r="A2" t="s">
        <v>19</v>
      </c>
      <c r="B2" t="s">
        <v>20</v>
      </c>
      <c r="C2" t="s">
        <v>21</v>
      </c>
      <c r="D2">
        <v>17107267</v>
      </c>
      <c r="E2" t="s">
        <v>22</v>
      </c>
      <c r="F2" t="s">
        <v>23</v>
      </c>
      <c r="G2">
        <v>17106272</v>
      </c>
      <c r="H2">
        <f>ABS(D2-G2)</f>
        <v>995</v>
      </c>
      <c r="I2">
        <f>LOG10(H2)</f>
        <v>2.9978230807457256</v>
      </c>
      <c r="J2">
        <f>IF(H2&lt;=10000,H2,)</f>
        <v>995</v>
      </c>
    </row>
    <row r="3" spans="1:10" x14ac:dyDescent="0.25">
      <c r="A3" t="s">
        <v>19</v>
      </c>
      <c r="B3" t="s">
        <v>20</v>
      </c>
      <c r="C3" t="s">
        <v>24</v>
      </c>
      <c r="D3">
        <v>17186361</v>
      </c>
      <c r="E3" t="s">
        <v>25</v>
      </c>
      <c r="F3" t="s">
        <v>26</v>
      </c>
      <c r="G3">
        <v>17106272</v>
      </c>
      <c r="H3">
        <f t="shared" ref="H3:H63" si="0">ABS(D3-G3)</f>
        <v>80089</v>
      </c>
      <c r="I3">
        <f t="shared" ref="I3:I63" si="1">LOG10(H3)</f>
        <v>4.9035728710485804</v>
      </c>
      <c r="J3">
        <f t="shared" ref="J3:J63" si="2">IF(H3&lt;=10000,H3,)</f>
        <v>0</v>
      </c>
    </row>
    <row r="4" spans="1:10" x14ac:dyDescent="0.25">
      <c r="A4" t="s">
        <v>94</v>
      </c>
      <c r="B4" t="s">
        <v>95</v>
      </c>
      <c r="C4" t="s">
        <v>21</v>
      </c>
      <c r="D4">
        <v>39532725</v>
      </c>
      <c r="E4" t="s">
        <v>54</v>
      </c>
      <c r="F4" t="s">
        <v>40</v>
      </c>
      <c r="G4">
        <v>39512436</v>
      </c>
      <c r="H4">
        <f t="shared" si="0"/>
        <v>20289</v>
      </c>
      <c r="I4">
        <f t="shared" si="1"/>
        <v>4.307260642145005</v>
      </c>
      <c r="J4">
        <f t="shared" si="2"/>
        <v>0</v>
      </c>
    </row>
    <row r="5" spans="1:10" x14ac:dyDescent="0.25">
      <c r="A5" t="s">
        <v>94</v>
      </c>
      <c r="B5" t="s">
        <v>95</v>
      </c>
      <c r="C5" t="s">
        <v>21</v>
      </c>
      <c r="D5">
        <v>39534082</v>
      </c>
      <c r="E5" t="s">
        <v>54</v>
      </c>
      <c r="F5" t="s">
        <v>40</v>
      </c>
      <c r="G5">
        <v>39512436</v>
      </c>
      <c r="H5">
        <f t="shared" si="0"/>
        <v>21646</v>
      </c>
      <c r="I5">
        <f t="shared" si="1"/>
        <v>4.3353776541108298</v>
      </c>
      <c r="J5">
        <f t="shared" si="2"/>
        <v>0</v>
      </c>
    </row>
    <row r="6" spans="1:10" x14ac:dyDescent="0.25">
      <c r="A6" t="s">
        <v>37</v>
      </c>
      <c r="B6" t="s">
        <v>38</v>
      </c>
      <c r="C6" t="s">
        <v>9</v>
      </c>
      <c r="D6">
        <v>3097050</v>
      </c>
      <c r="E6" t="s">
        <v>39</v>
      </c>
      <c r="F6" t="s">
        <v>40</v>
      </c>
      <c r="G6">
        <v>3085187</v>
      </c>
      <c r="H6">
        <f t="shared" si="0"/>
        <v>11863</v>
      </c>
      <c r="I6">
        <f t="shared" si="1"/>
        <v>4.0741945304018188</v>
      </c>
      <c r="J6">
        <f t="shared" si="2"/>
        <v>0</v>
      </c>
    </row>
    <row r="7" spans="1:10" x14ac:dyDescent="0.25">
      <c r="A7" t="s">
        <v>37</v>
      </c>
      <c r="B7" t="s">
        <v>38</v>
      </c>
      <c r="C7" t="s">
        <v>21</v>
      </c>
      <c r="D7">
        <v>3099228</v>
      </c>
      <c r="E7" t="s">
        <v>41</v>
      </c>
      <c r="F7" t="s">
        <v>42</v>
      </c>
      <c r="G7">
        <v>3085187</v>
      </c>
      <c r="H7">
        <f t="shared" si="0"/>
        <v>14041</v>
      </c>
      <c r="I7">
        <f t="shared" si="1"/>
        <v>4.1473980393476548</v>
      </c>
      <c r="J7">
        <f t="shared" si="2"/>
        <v>0</v>
      </c>
    </row>
    <row r="8" spans="1:10" x14ac:dyDescent="0.25">
      <c r="A8" t="s">
        <v>37</v>
      </c>
      <c r="B8" t="s">
        <v>38</v>
      </c>
      <c r="C8" t="s">
        <v>21</v>
      </c>
      <c r="D8">
        <v>3099301</v>
      </c>
      <c r="E8" t="s">
        <v>28</v>
      </c>
      <c r="F8" t="s">
        <v>29</v>
      </c>
      <c r="G8">
        <v>3085187</v>
      </c>
      <c r="H8">
        <f t="shared" si="0"/>
        <v>14114</v>
      </c>
      <c r="I8">
        <f t="shared" si="1"/>
        <v>4.1496501130981152</v>
      </c>
      <c r="J8">
        <f t="shared" si="2"/>
        <v>0</v>
      </c>
    </row>
    <row r="9" spans="1:10" x14ac:dyDescent="0.25">
      <c r="A9" t="s">
        <v>80</v>
      </c>
      <c r="B9" t="s">
        <v>81</v>
      </c>
      <c r="C9" t="s">
        <v>6</v>
      </c>
      <c r="D9">
        <v>19303291</v>
      </c>
      <c r="E9" t="s">
        <v>84</v>
      </c>
      <c r="F9" t="s">
        <v>84</v>
      </c>
      <c r="G9">
        <v>19287895</v>
      </c>
      <c r="H9">
        <f t="shared" si="0"/>
        <v>15396</v>
      </c>
      <c r="I9">
        <f t="shared" si="1"/>
        <v>4.187407902422553</v>
      </c>
      <c r="J9">
        <f t="shared" si="2"/>
        <v>0</v>
      </c>
    </row>
    <row r="10" spans="1:10" x14ac:dyDescent="0.25">
      <c r="A10" t="s">
        <v>80</v>
      </c>
      <c r="B10" t="s">
        <v>81</v>
      </c>
      <c r="C10" t="s">
        <v>21</v>
      </c>
      <c r="D10">
        <v>19336695</v>
      </c>
      <c r="E10" t="s">
        <v>82</v>
      </c>
      <c r="F10" t="s">
        <v>83</v>
      </c>
      <c r="G10">
        <v>19287895</v>
      </c>
      <c r="H10">
        <f t="shared" si="0"/>
        <v>48800</v>
      </c>
      <c r="I10">
        <f t="shared" si="1"/>
        <v>4.6884198220027109</v>
      </c>
      <c r="J10">
        <f t="shared" si="2"/>
        <v>0</v>
      </c>
    </row>
    <row r="11" spans="1:10" x14ac:dyDescent="0.25">
      <c r="A11" t="s">
        <v>129</v>
      </c>
      <c r="B11" t="s">
        <v>130</v>
      </c>
      <c r="C11" t="s">
        <v>21</v>
      </c>
      <c r="D11">
        <v>22623177</v>
      </c>
      <c r="E11" t="s">
        <v>57</v>
      </c>
      <c r="F11" t="s">
        <v>58</v>
      </c>
      <c r="G11">
        <v>22587312</v>
      </c>
      <c r="H11">
        <f t="shared" si="0"/>
        <v>35865</v>
      </c>
      <c r="I11">
        <f t="shared" si="1"/>
        <v>4.5546708351714562</v>
      </c>
      <c r="J11">
        <f t="shared" si="2"/>
        <v>0</v>
      </c>
    </row>
    <row r="12" spans="1:10" x14ac:dyDescent="0.25">
      <c r="A12" t="s">
        <v>135</v>
      </c>
      <c r="B12" t="s">
        <v>130</v>
      </c>
      <c r="C12" t="s">
        <v>21</v>
      </c>
      <c r="D12">
        <v>453409</v>
      </c>
      <c r="E12" t="s">
        <v>57</v>
      </c>
      <c r="F12" t="s">
        <v>58</v>
      </c>
      <c r="G12">
        <v>417102</v>
      </c>
      <c r="H12">
        <f t="shared" si="0"/>
        <v>36307</v>
      </c>
      <c r="I12">
        <f t="shared" si="1"/>
        <v>4.5599903652094493</v>
      </c>
      <c r="J12">
        <f t="shared" si="2"/>
        <v>0</v>
      </c>
    </row>
    <row r="13" spans="1:10" x14ac:dyDescent="0.25">
      <c r="A13" t="s">
        <v>72</v>
      </c>
      <c r="B13" t="s">
        <v>73</v>
      </c>
      <c r="C13" t="s">
        <v>6</v>
      </c>
      <c r="D13">
        <v>15842738</v>
      </c>
      <c r="E13" t="s">
        <v>74</v>
      </c>
      <c r="F13" t="s">
        <v>74</v>
      </c>
      <c r="G13">
        <v>15845764</v>
      </c>
      <c r="H13">
        <f t="shared" si="0"/>
        <v>3026</v>
      </c>
      <c r="I13">
        <f t="shared" si="1"/>
        <v>3.4808689236871677</v>
      </c>
      <c r="J13">
        <f t="shared" si="2"/>
        <v>3026</v>
      </c>
    </row>
    <row r="14" spans="1:10" x14ac:dyDescent="0.25">
      <c r="A14" t="s">
        <v>72</v>
      </c>
      <c r="B14" t="s">
        <v>73</v>
      </c>
      <c r="C14" t="s">
        <v>24</v>
      </c>
      <c r="D14">
        <v>15890453</v>
      </c>
      <c r="E14" t="s">
        <v>75</v>
      </c>
      <c r="F14" t="s">
        <v>76</v>
      </c>
      <c r="G14">
        <v>15845764</v>
      </c>
      <c r="H14">
        <f t="shared" si="0"/>
        <v>44689</v>
      </c>
      <c r="I14">
        <f t="shared" si="1"/>
        <v>4.6502006366173756</v>
      </c>
      <c r="J14">
        <f t="shared" si="2"/>
        <v>0</v>
      </c>
    </row>
    <row r="15" spans="1:10" x14ac:dyDescent="0.25">
      <c r="A15" t="s">
        <v>102</v>
      </c>
      <c r="B15" t="s">
        <v>103</v>
      </c>
      <c r="C15" t="s">
        <v>21</v>
      </c>
      <c r="D15">
        <v>6473043</v>
      </c>
      <c r="E15" t="s">
        <v>104</v>
      </c>
      <c r="F15" t="s">
        <v>105</v>
      </c>
      <c r="G15">
        <v>6421407</v>
      </c>
      <c r="H15">
        <f t="shared" si="0"/>
        <v>51636</v>
      </c>
      <c r="I15">
        <f t="shared" si="1"/>
        <v>4.71295259213018</v>
      </c>
      <c r="J15">
        <f t="shared" si="2"/>
        <v>0</v>
      </c>
    </row>
    <row r="16" spans="1:10" x14ac:dyDescent="0.25">
      <c r="A16" t="s">
        <v>102</v>
      </c>
      <c r="B16" t="s">
        <v>103</v>
      </c>
      <c r="C16" t="s">
        <v>21</v>
      </c>
      <c r="D16">
        <v>6524352</v>
      </c>
      <c r="E16" t="s">
        <v>54</v>
      </c>
      <c r="F16" t="s">
        <v>40</v>
      </c>
      <c r="G16">
        <v>6421407</v>
      </c>
      <c r="H16">
        <f t="shared" si="0"/>
        <v>102945</v>
      </c>
      <c r="I16">
        <f t="shared" si="1"/>
        <v>5.0126052579463529</v>
      </c>
      <c r="J16">
        <f t="shared" si="2"/>
        <v>0</v>
      </c>
    </row>
    <row r="17" spans="1:10" x14ac:dyDescent="0.25">
      <c r="A17" t="s">
        <v>55</v>
      </c>
      <c r="B17" t="s">
        <v>56</v>
      </c>
      <c r="C17" t="s">
        <v>21</v>
      </c>
      <c r="D17">
        <v>34821479</v>
      </c>
      <c r="E17" t="s">
        <v>57</v>
      </c>
      <c r="F17" t="s">
        <v>58</v>
      </c>
      <c r="G17">
        <v>34824354</v>
      </c>
      <c r="H17">
        <f t="shared" si="0"/>
        <v>2875</v>
      </c>
      <c r="I17">
        <f t="shared" si="1"/>
        <v>3.4586378490256493</v>
      </c>
      <c r="J17">
        <f t="shared" si="2"/>
        <v>2875</v>
      </c>
    </row>
    <row r="18" spans="1:10" x14ac:dyDescent="0.25">
      <c r="A18" t="s">
        <v>133</v>
      </c>
      <c r="B18" t="s">
        <v>56</v>
      </c>
      <c r="C18" t="s">
        <v>21</v>
      </c>
      <c r="D18">
        <v>55780</v>
      </c>
      <c r="E18" t="s">
        <v>57</v>
      </c>
      <c r="F18" t="s">
        <v>58</v>
      </c>
      <c r="G18">
        <v>59680</v>
      </c>
      <c r="H18">
        <f t="shared" si="0"/>
        <v>3900</v>
      </c>
      <c r="I18">
        <f t="shared" si="1"/>
        <v>3.5910646070264991</v>
      </c>
      <c r="J18">
        <f t="shared" si="2"/>
        <v>3900</v>
      </c>
    </row>
    <row r="19" spans="1:10" x14ac:dyDescent="0.25">
      <c r="A19" t="s">
        <v>94</v>
      </c>
      <c r="B19" t="s">
        <v>96</v>
      </c>
      <c r="C19" t="s">
        <v>6</v>
      </c>
      <c r="D19">
        <v>19460475</v>
      </c>
      <c r="E19" t="s">
        <v>97</v>
      </c>
      <c r="F19" t="s">
        <v>97</v>
      </c>
      <c r="G19">
        <v>19445941</v>
      </c>
      <c r="H19">
        <f t="shared" si="0"/>
        <v>14534</v>
      </c>
      <c r="I19">
        <f t="shared" si="1"/>
        <v>4.1623851558572413</v>
      </c>
      <c r="J19">
        <f t="shared" si="2"/>
        <v>0</v>
      </c>
    </row>
    <row r="20" spans="1:10" x14ac:dyDescent="0.25">
      <c r="A20" t="s">
        <v>134</v>
      </c>
      <c r="B20" t="s">
        <v>96</v>
      </c>
      <c r="C20" t="s">
        <v>6</v>
      </c>
      <c r="D20">
        <v>258863</v>
      </c>
      <c r="E20" t="s">
        <v>97</v>
      </c>
      <c r="F20" t="s">
        <v>97</v>
      </c>
      <c r="G20">
        <v>245125</v>
      </c>
      <c r="H20">
        <f t="shared" si="0"/>
        <v>13738</v>
      </c>
      <c r="I20">
        <f t="shared" si="1"/>
        <v>4.1379235120404152</v>
      </c>
      <c r="J20">
        <f t="shared" si="2"/>
        <v>0</v>
      </c>
    </row>
    <row r="21" spans="1:10" x14ac:dyDescent="0.25">
      <c r="A21" t="s">
        <v>37</v>
      </c>
      <c r="B21" t="s">
        <v>43</v>
      </c>
      <c r="C21" t="s">
        <v>21</v>
      </c>
      <c r="D21">
        <v>14464199</v>
      </c>
      <c r="E21" t="s">
        <v>44</v>
      </c>
      <c r="F21" t="s">
        <v>45</v>
      </c>
      <c r="G21">
        <v>14455216</v>
      </c>
      <c r="H21">
        <f t="shared" si="0"/>
        <v>8983</v>
      </c>
      <c r="I21">
        <f t="shared" si="1"/>
        <v>3.953421399681035</v>
      </c>
      <c r="J21">
        <f t="shared" si="2"/>
        <v>8983</v>
      </c>
    </row>
    <row r="22" spans="1:10" x14ac:dyDescent="0.25">
      <c r="A22" t="s">
        <v>4</v>
      </c>
      <c r="B22" t="s">
        <v>5</v>
      </c>
      <c r="C22" t="s">
        <v>6</v>
      </c>
      <c r="D22">
        <v>37241255</v>
      </c>
      <c r="E22" t="s">
        <v>7</v>
      </c>
      <c r="F22" t="s">
        <v>7</v>
      </c>
      <c r="G22">
        <v>37227117</v>
      </c>
      <c r="H22">
        <f t="shared" si="0"/>
        <v>14138</v>
      </c>
      <c r="I22">
        <f t="shared" si="1"/>
        <v>4.1503879773252805</v>
      </c>
      <c r="J22">
        <f t="shared" si="2"/>
        <v>0</v>
      </c>
    </row>
    <row r="23" spans="1:10" x14ac:dyDescent="0.25">
      <c r="A23" t="s">
        <v>19</v>
      </c>
      <c r="B23" t="s">
        <v>27</v>
      </c>
      <c r="C23" t="s">
        <v>21</v>
      </c>
      <c r="D23">
        <v>29023816</v>
      </c>
      <c r="E23" t="s">
        <v>28</v>
      </c>
      <c r="F23" t="s">
        <v>29</v>
      </c>
      <c r="G23">
        <v>29017497</v>
      </c>
      <c r="H23">
        <f t="shared" si="0"/>
        <v>6319</v>
      </c>
      <c r="I23">
        <f t="shared" si="1"/>
        <v>3.8006483553639883</v>
      </c>
      <c r="J23">
        <f t="shared" si="2"/>
        <v>6319</v>
      </c>
    </row>
    <row r="24" spans="1:10" x14ac:dyDescent="0.25">
      <c r="A24" t="s">
        <v>15</v>
      </c>
      <c r="B24" t="s">
        <v>16</v>
      </c>
      <c r="C24" t="s">
        <v>9</v>
      </c>
      <c r="D24">
        <v>19389603</v>
      </c>
      <c r="E24" t="s">
        <v>17</v>
      </c>
      <c r="F24" t="s">
        <v>18</v>
      </c>
      <c r="G24">
        <v>19385502</v>
      </c>
      <c r="H24">
        <f t="shared" si="0"/>
        <v>4101</v>
      </c>
      <c r="I24">
        <f t="shared" si="1"/>
        <v>3.6128897692874848</v>
      </c>
      <c r="J24">
        <f t="shared" si="2"/>
        <v>4101</v>
      </c>
    </row>
    <row r="25" spans="1:10" x14ac:dyDescent="0.25">
      <c r="A25" t="s">
        <v>98</v>
      </c>
      <c r="B25" t="s">
        <v>99</v>
      </c>
      <c r="C25" t="s">
        <v>24</v>
      </c>
      <c r="D25">
        <v>5001100</v>
      </c>
      <c r="E25" t="s">
        <v>100</v>
      </c>
      <c r="F25" t="s">
        <v>101</v>
      </c>
      <c r="G25">
        <v>4999255</v>
      </c>
      <c r="H25">
        <f t="shared" si="0"/>
        <v>1845</v>
      </c>
      <c r="I25">
        <f t="shared" si="1"/>
        <v>3.265996370495079</v>
      </c>
      <c r="J25">
        <f t="shared" si="2"/>
        <v>1845</v>
      </c>
    </row>
    <row r="26" spans="1:10" x14ac:dyDescent="0.25">
      <c r="A26" t="s">
        <v>72</v>
      </c>
      <c r="B26" t="s">
        <v>77</v>
      </c>
      <c r="C26" t="s">
        <v>9</v>
      </c>
      <c r="D26">
        <v>31656706</v>
      </c>
      <c r="E26" t="s">
        <v>78</v>
      </c>
      <c r="F26" t="s">
        <v>79</v>
      </c>
      <c r="G26">
        <v>31652638</v>
      </c>
      <c r="H26">
        <f t="shared" si="0"/>
        <v>4068</v>
      </c>
      <c r="I26">
        <f t="shared" si="1"/>
        <v>3.6093809442507068</v>
      </c>
      <c r="J26">
        <f t="shared" si="2"/>
        <v>4068</v>
      </c>
    </row>
    <row r="27" spans="1:10" x14ac:dyDescent="0.25">
      <c r="A27" t="s">
        <v>46</v>
      </c>
      <c r="B27" t="s">
        <v>47</v>
      </c>
      <c r="C27" t="s">
        <v>6</v>
      </c>
      <c r="D27">
        <v>33422559</v>
      </c>
      <c r="E27" t="s">
        <v>48</v>
      </c>
      <c r="F27" t="s">
        <v>48</v>
      </c>
      <c r="G27">
        <v>33366682</v>
      </c>
      <c r="H27">
        <f t="shared" si="0"/>
        <v>55877</v>
      </c>
      <c r="I27">
        <f t="shared" si="1"/>
        <v>4.7472330810781402</v>
      </c>
      <c r="J27">
        <f t="shared" si="2"/>
        <v>0</v>
      </c>
    </row>
    <row r="28" spans="1:10" x14ac:dyDescent="0.25">
      <c r="A28" t="s">
        <v>55</v>
      </c>
      <c r="B28" t="s">
        <v>59</v>
      </c>
      <c r="C28" t="s">
        <v>21</v>
      </c>
      <c r="D28">
        <v>43111221</v>
      </c>
      <c r="E28" t="s">
        <v>60</v>
      </c>
      <c r="F28" t="s">
        <v>61</v>
      </c>
      <c r="G28">
        <v>43114107</v>
      </c>
      <c r="H28">
        <f t="shared" si="0"/>
        <v>2886</v>
      </c>
      <c r="I28">
        <f t="shared" si="1"/>
        <v>3.4602963267574753</v>
      </c>
      <c r="J28">
        <f t="shared" si="2"/>
        <v>2886</v>
      </c>
    </row>
    <row r="29" spans="1:10" x14ac:dyDescent="0.25">
      <c r="A29" t="s">
        <v>131</v>
      </c>
      <c r="B29" t="s">
        <v>132</v>
      </c>
      <c r="C29" t="s">
        <v>24</v>
      </c>
      <c r="D29">
        <v>154334</v>
      </c>
      <c r="E29" t="s">
        <v>50</v>
      </c>
      <c r="F29" t="s">
        <v>51</v>
      </c>
      <c r="G29">
        <v>133500</v>
      </c>
      <c r="H29">
        <f t="shared" si="0"/>
        <v>20834</v>
      </c>
      <c r="I29">
        <f t="shared" si="1"/>
        <v>4.3187726598254796</v>
      </c>
      <c r="J29">
        <f t="shared" si="2"/>
        <v>0</v>
      </c>
    </row>
    <row r="30" spans="1:10" x14ac:dyDescent="0.25">
      <c r="A30" t="s">
        <v>52</v>
      </c>
      <c r="B30" t="s">
        <v>53</v>
      </c>
      <c r="C30" t="s">
        <v>21</v>
      </c>
      <c r="D30">
        <v>36864858</v>
      </c>
      <c r="E30" t="s">
        <v>54</v>
      </c>
      <c r="F30" t="s">
        <v>40</v>
      </c>
      <c r="G30">
        <v>36834066</v>
      </c>
      <c r="H30">
        <f t="shared" si="0"/>
        <v>30792</v>
      </c>
      <c r="I30">
        <f t="shared" si="1"/>
        <v>4.4884378980865343</v>
      </c>
      <c r="J30">
        <f t="shared" si="2"/>
        <v>0</v>
      </c>
    </row>
    <row r="31" spans="1:10" x14ac:dyDescent="0.25">
      <c r="A31" t="s">
        <v>80</v>
      </c>
      <c r="B31" t="s">
        <v>85</v>
      </c>
      <c r="C31" t="s">
        <v>9</v>
      </c>
      <c r="D31">
        <v>16369162</v>
      </c>
      <c r="E31" t="s">
        <v>86</v>
      </c>
      <c r="F31" t="s">
        <v>87</v>
      </c>
      <c r="G31">
        <v>16222620</v>
      </c>
      <c r="H31">
        <f t="shared" si="0"/>
        <v>146542</v>
      </c>
      <c r="I31">
        <f t="shared" si="1"/>
        <v>5.1659621144790648</v>
      </c>
      <c r="J31">
        <f t="shared" si="2"/>
        <v>0</v>
      </c>
    </row>
    <row r="32" spans="1:10" x14ac:dyDescent="0.25">
      <c r="A32" t="s">
        <v>80</v>
      </c>
      <c r="B32" t="s">
        <v>85</v>
      </c>
      <c r="C32" t="s">
        <v>6</v>
      </c>
      <c r="D32">
        <v>16492591</v>
      </c>
      <c r="E32" t="s">
        <v>88</v>
      </c>
      <c r="F32" t="s">
        <v>88</v>
      </c>
      <c r="G32">
        <v>16222620</v>
      </c>
      <c r="H32">
        <f t="shared" si="0"/>
        <v>269971</v>
      </c>
      <c r="I32">
        <f t="shared" si="1"/>
        <v>5.4313171152093682</v>
      </c>
      <c r="J32">
        <f t="shared" si="2"/>
        <v>0</v>
      </c>
    </row>
    <row r="33" spans="1:10" x14ac:dyDescent="0.25">
      <c r="A33" t="s">
        <v>80</v>
      </c>
      <c r="B33" t="s">
        <v>85</v>
      </c>
      <c r="C33" t="s">
        <v>9</v>
      </c>
      <c r="D33">
        <v>16565951</v>
      </c>
      <c r="E33" t="s">
        <v>89</v>
      </c>
      <c r="F33" t="s">
        <v>90</v>
      </c>
      <c r="G33">
        <v>16222620</v>
      </c>
      <c r="H33">
        <f t="shared" si="0"/>
        <v>343331</v>
      </c>
      <c r="I33">
        <f t="shared" si="1"/>
        <v>5.5357130184595835</v>
      </c>
      <c r="J33">
        <f t="shared" si="2"/>
        <v>0</v>
      </c>
    </row>
    <row r="34" spans="1:10" x14ac:dyDescent="0.25">
      <c r="A34" t="s">
        <v>80</v>
      </c>
      <c r="B34" t="s">
        <v>85</v>
      </c>
      <c r="C34" t="s">
        <v>21</v>
      </c>
      <c r="D34">
        <v>16579651</v>
      </c>
      <c r="E34" t="s">
        <v>54</v>
      </c>
      <c r="F34" t="s">
        <v>40</v>
      </c>
      <c r="G34">
        <v>16222620</v>
      </c>
      <c r="H34">
        <f t="shared" si="0"/>
        <v>357031</v>
      </c>
      <c r="I34">
        <f t="shared" si="1"/>
        <v>5.5527059263207068</v>
      </c>
      <c r="J34">
        <f t="shared" si="2"/>
        <v>0</v>
      </c>
    </row>
    <row r="35" spans="1:10" x14ac:dyDescent="0.25">
      <c r="A35" t="s">
        <v>80</v>
      </c>
      <c r="B35" t="s">
        <v>85</v>
      </c>
      <c r="C35" t="s">
        <v>21</v>
      </c>
      <c r="D35">
        <v>16600184</v>
      </c>
      <c r="E35" t="s">
        <v>54</v>
      </c>
      <c r="F35" t="s">
        <v>40</v>
      </c>
      <c r="G35">
        <v>16222620</v>
      </c>
      <c r="H35">
        <f t="shared" si="0"/>
        <v>377564</v>
      </c>
      <c r="I35">
        <f t="shared" si="1"/>
        <v>5.5769905784578917</v>
      </c>
      <c r="J35">
        <f t="shared" si="2"/>
        <v>0</v>
      </c>
    </row>
    <row r="36" spans="1:10" x14ac:dyDescent="0.25">
      <c r="A36" t="s">
        <v>80</v>
      </c>
      <c r="B36" t="s">
        <v>85</v>
      </c>
      <c r="C36" t="s">
        <v>21</v>
      </c>
      <c r="D36">
        <v>16647544</v>
      </c>
      <c r="E36" t="s">
        <v>91</v>
      </c>
      <c r="F36" t="s">
        <v>92</v>
      </c>
      <c r="G36">
        <v>16222620</v>
      </c>
      <c r="H36">
        <f t="shared" si="0"/>
        <v>424924</v>
      </c>
      <c r="I36">
        <f t="shared" si="1"/>
        <v>5.6283112610335229</v>
      </c>
      <c r="J36">
        <f t="shared" si="2"/>
        <v>0</v>
      </c>
    </row>
    <row r="37" spans="1:10" x14ac:dyDescent="0.25">
      <c r="A37" t="s">
        <v>80</v>
      </c>
      <c r="B37" t="s">
        <v>93</v>
      </c>
      <c r="C37" t="s">
        <v>21</v>
      </c>
      <c r="D37">
        <v>10375611</v>
      </c>
      <c r="E37" t="s">
        <v>54</v>
      </c>
      <c r="F37" t="s">
        <v>40</v>
      </c>
      <c r="G37">
        <v>10355567</v>
      </c>
      <c r="H37">
        <f t="shared" si="0"/>
        <v>20044</v>
      </c>
      <c r="I37">
        <f t="shared" si="1"/>
        <v>4.3019843940704394</v>
      </c>
      <c r="J37">
        <f t="shared" si="2"/>
        <v>0</v>
      </c>
    </row>
    <row r="38" spans="1:10" x14ac:dyDescent="0.25">
      <c r="A38" t="s">
        <v>118</v>
      </c>
      <c r="B38" t="s">
        <v>119</v>
      </c>
      <c r="C38" t="s">
        <v>6</v>
      </c>
      <c r="D38">
        <v>23788750</v>
      </c>
      <c r="E38" t="s">
        <v>120</v>
      </c>
      <c r="F38" t="s">
        <v>120</v>
      </c>
      <c r="G38">
        <v>23791838</v>
      </c>
      <c r="H38">
        <f t="shared" si="0"/>
        <v>3088</v>
      </c>
      <c r="I38">
        <f t="shared" si="1"/>
        <v>3.4896772916636984</v>
      </c>
      <c r="J38">
        <f t="shared" si="2"/>
        <v>3088</v>
      </c>
    </row>
    <row r="39" spans="1:10" x14ac:dyDescent="0.25">
      <c r="A39" t="s">
        <v>118</v>
      </c>
      <c r="B39" t="s">
        <v>119</v>
      </c>
      <c r="C39" t="s">
        <v>24</v>
      </c>
      <c r="D39">
        <v>23800664</v>
      </c>
      <c r="E39" t="s">
        <v>116</v>
      </c>
      <c r="F39" t="s">
        <v>117</v>
      </c>
      <c r="G39">
        <v>23791838</v>
      </c>
      <c r="H39">
        <f t="shared" si="0"/>
        <v>8826</v>
      </c>
      <c r="I39">
        <f t="shared" si="1"/>
        <v>3.9457639231111736</v>
      </c>
      <c r="J39">
        <f t="shared" si="2"/>
        <v>8826</v>
      </c>
    </row>
    <row r="40" spans="1:10" x14ac:dyDescent="0.25">
      <c r="A40" t="s">
        <v>118</v>
      </c>
      <c r="B40" t="s">
        <v>119</v>
      </c>
      <c r="C40" t="s">
        <v>6</v>
      </c>
      <c r="D40">
        <v>23800693</v>
      </c>
      <c r="E40" t="s">
        <v>14</v>
      </c>
      <c r="F40" t="s">
        <v>14</v>
      </c>
      <c r="G40">
        <v>23791838</v>
      </c>
      <c r="H40">
        <f t="shared" si="0"/>
        <v>8855</v>
      </c>
      <c r="I40">
        <f t="shared" si="1"/>
        <v>3.9471885655260937</v>
      </c>
      <c r="J40">
        <f t="shared" si="2"/>
        <v>8855</v>
      </c>
    </row>
    <row r="41" spans="1:10" x14ac:dyDescent="0.25">
      <c r="A41" t="s">
        <v>118</v>
      </c>
      <c r="B41" t="s">
        <v>119</v>
      </c>
      <c r="C41" t="s">
        <v>6</v>
      </c>
      <c r="D41">
        <v>23807037</v>
      </c>
      <c r="E41" t="s">
        <v>121</v>
      </c>
      <c r="F41" t="s">
        <v>121</v>
      </c>
      <c r="G41">
        <v>23791838</v>
      </c>
      <c r="H41">
        <f t="shared" si="0"/>
        <v>15199</v>
      </c>
      <c r="I41">
        <f t="shared" si="1"/>
        <v>4.1818150149994739</v>
      </c>
      <c r="J41">
        <f t="shared" si="2"/>
        <v>0</v>
      </c>
    </row>
    <row r="42" spans="1:10" x14ac:dyDescent="0.25">
      <c r="A42" t="s">
        <v>102</v>
      </c>
      <c r="B42" t="s">
        <v>106</v>
      </c>
      <c r="C42" t="s">
        <v>21</v>
      </c>
      <c r="D42">
        <v>45604228</v>
      </c>
      <c r="E42" t="s">
        <v>107</v>
      </c>
      <c r="F42" t="s">
        <v>108</v>
      </c>
      <c r="G42">
        <v>45584152</v>
      </c>
      <c r="H42">
        <f t="shared" si="0"/>
        <v>20076</v>
      </c>
      <c r="I42">
        <f t="shared" si="1"/>
        <v>4.3026771870100191</v>
      </c>
      <c r="J42">
        <f t="shared" si="2"/>
        <v>0</v>
      </c>
    </row>
    <row r="43" spans="1:10" x14ac:dyDescent="0.25">
      <c r="A43" t="s">
        <v>102</v>
      </c>
      <c r="B43" t="s">
        <v>106</v>
      </c>
      <c r="C43" t="s">
        <v>21</v>
      </c>
      <c r="D43">
        <v>45604239</v>
      </c>
      <c r="E43" t="s">
        <v>109</v>
      </c>
      <c r="F43" t="s">
        <v>110</v>
      </c>
      <c r="G43">
        <v>45584152</v>
      </c>
      <c r="H43">
        <f t="shared" si="0"/>
        <v>20087</v>
      </c>
      <c r="I43">
        <f t="shared" si="1"/>
        <v>4.3029150795688613</v>
      </c>
      <c r="J43">
        <f t="shared" si="2"/>
        <v>0</v>
      </c>
    </row>
    <row r="44" spans="1:10" x14ac:dyDescent="0.25">
      <c r="A44" t="s">
        <v>102</v>
      </c>
      <c r="B44" t="s">
        <v>106</v>
      </c>
      <c r="C44" t="s">
        <v>21</v>
      </c>
      <c r="D44">
        <v>45604250</v>
      </c>
      <c r="E44" t="s">
        <v>111</v>
      </c>
      <c r="F44" t="s">
        <v>112</v>
      </c>
      <c r="G44">
        <v>45584152</v>
      </c>
      <c r="H44">
        <f t="shared" si="0"/>
        <v>20098</v>
      </c>
      <c r="I44">
        <f t="shared" si="1"/>
        <v>4.3031528418891432</v>
      </c>
      <c r="J44">
        <f t="shared" si="2"/>
        <v>0</v>
      </c>
    </row>
    <row r="45" spans="1:10" x14ac:dyDescent="0.25">
      <c r="A45" t="s">
        <v>102</v>
      </c>
      <c r="B45" t="s">
        <v>106</v>
      </c>
      <c r="C45" t="s">
        <v>21</v>
      </c>
      <c r="D45">
        <v>45604481</v>
      </c>
      <c r="E45" t="s">
        <v>113</v>
      </c>
      <c r="F45" t="s">
        <v>114</v>
      </c>
      <c r="G45">
        <v>45584152</v>
      </c>
      <c r="H45">
        <f t="shared" si="0"/>
        <v>20329</v>
      </c>
      <c r="I45">
        <f t="shared" si="1"/>
        <v>4.3081160158656147</v>
      </c>
      <c r="J45">
        <f t="shared" si="2"/>
        <v>0</v>
      </c>
    </row>
    <row r="46" spans="1:10" x14ac:dyDescent="0.25">
      <c r="A46" t="s">
        <v>102</v>
      </c>
      <c r="B46" t="s">
        <v>106</v>
      </c>
      <c r="C46" t="s">
        <v>21</v>
      </c>
      <c r="D46">
        <v>45605223</v>
      </c>
      <c r="E46" t="s">
        <v>113</v>
      </c>
      <c r="F46" t="s">
        <v>114</v>
      </c>
      <c r="G46">
        <v>45584152</v>
      </c>
      <c r="H46">
        <f t="shared" si="0"/>
        <v>21071</v>
      </c>
      <c r="I46">
        <f t="shared" si="1"/>
        <v>4.3236851471019886</v>
      </c>
      <c r="J46">
        <f t="shared" si="2"/>
        <v>0</v>
      </c>
    </row>
    <row r="47" spans="1:10" x14ac:dyDescent="0.25">
      <c r="A47" t="s">
        <v>67</v>
      </c>
      <c r="B47" t="s">
        <v>68</v>
      </c>
      <c r="C47" t="s">
        <v>6</v>
      </c>
      <c r="D47">
        <v>6140940</v>
      </c>
      <c r="E47" t="s">
        <v>71</v>
      </c>
      <c r="F47" t="s">
        <v>71</v>
      </c>
      <c r="G47">
        <v>6138422</v>
      </c>
      <c r="H47">
        <f t="shared" si="0"/>
        <v>2518</v>
      </c>
      <c r="I47">
        <f t="shared" si="1"/>
        <v>3.4010557257718439</v>
      </c>
      <c r="J47">
        <f t="shared" si="2"/>
        <v>2518</v>
      </c>
    </row>
    <row r="48" spans="1:10" x14ac:dyDescent="0.25">
      <c r="A48" t="s">
        <v>67</v>
      </c>
      <c r="B48" t="s">
        <v>68</v>
      </c>
      <c r="C48" t="s">
        <v>21</v>
      </c>
      <c r="D48">
        <v>6220418</v>
      </c>
      <c r="E48" t="s">
        <v>57</v>
      </c>
      <c r="F48" t="s">
        <v>58</v>
      </c>
      <c r="G48">
        <v>6138422</v>
      </c>
      <c r="H48">
        <f t="shared" si="0"/>
        <v>81996</v>
      </c>
      <c r="I48">
        <f t="shared" si="1"/>
        <v>4.9137926667703118</v>
      </c>
      <c r="J48">
        <f t="shared" si="2"/>
        <v>0</v>
      </c>
    </row>
    <row r="49" spans="1:10" x14ac:dyDescent="0.25">
      <c r="A49" t="s">
        <v>67</v>
      </c>
      <c r="B49" t="s">
        <v>68</v>
      </c>
      <c r="C49" t="s">
        <v>21</v>
      </c>
      <c r="D49">
        <v>6238838</v>
      </c>
      <c r="E49" t="s">
        <v>69</v>
      </c>
      <c r="F49" t="s">
        <v>70</v>
      </c>
      <c r="G49">
        <v>6138422</v>
      </c>
      <c r="H49">
        <f t="shared" si="0"/>
        <v>100416</v>
      </c>
      <c r="I49">
        <f t="shared" si="1"/>
        <v>5.0018029175708243</v>
      </c>
      <c r="J49">
        <f t="shared" si="2"/>
        <v>0</v>
      </c>
    </row>
    <row r="50" spans="1:10" x14ac:dyDescent="0.25">
      <c r="A50" t="s">
        <v>102</v>
      </c>
      <c r="B50" t="s">
        <v>115</v>
      </c>
      <c r="C50" t="s">
        <v>24</v>
      </c>
      <c r="D50">
        <v>5492816</v>
      </c>
      <c r="E50" t="s">
        <v>116</v>
      </c>
      <c r="F50" t="s">
        <v>117</v>
      </c>
      <c r="G50">
        <v>5461642</v>
      </c>
      <c r="H50">
        <f t="shared" si="0"/>
        <v>31174</v>
      </c>
      <c r="I50">
        <f t="shared" si="1"/>
        <v>4.4937925310696665</v>
      </c>
      <c r="J50">
        <f t="shared" si="2"/>
        <v>0</v>
      </c>
    </row>
    <row r="51" spans="1:10" x14ac:dyDescent="0.25">
      <c r="A51" t="s">
        <v>102</v>
      </c>
      <c r="B51" t="s">
        <v>115</v>
      </c>
      <c r="C51" t="s">
        <v>6</v>
      </c>
      <c r="D51">
        <v>5492845</v>
      </c>
      <c r="E51" t="s">
        <v>14</v>
      </c>
      <c r="F51" t="s">
        <v>14</v>
      </c>
      <c r="G51">
        <v>5461642</v>
      </c>
      <c r="H51">
        <f t="shared" si="0"/>
        <v>31203</v>
      </c>
      <c r="I51">
        <f t="shared" si="1"/>
        <v>4.4941963510957219</v>
      </c>
      <c r="J51">
        <f t="shared" si="2"/>
        <v>0</v>
      </c>
    </row>
    <row r="52" spans="1:10" x14ac:dyDescent="0.25">
      <c r="A52" t="s">
        <v>118</v>
      </c>
      <c r="B52" t="s">
        <v>122</v>
      </c>
      <c r="C52" t="s">
        <v>21</v>
      </c>
      <c r="D52">
        <v>7761140</v>
      </c>
      <c r="E52" t="s">
        <v>125</v>
      </c>
      <c r="F52" t="s">
        <v>126</v>
      </c>
      <c r="G52">
        <v>7747663</v>
      </c>
      <c r="H52">
        <f t="shared" si="0"/>
        <v>13477</v>
      </c>
      <c r="I52">
        <f t="shared" si="1"/>
        <v>4.1295932283679333</v>
      </c>
      <c r="J52">
        <f t="shared" si="2"/>
        <v>0</v>
      </c>
    </row>
    <row r="53" spans="1:10" x14ac:dyDescent="0.25">
      <c r="A53" t="s">
        <v>118</v>
      </c>
      <c r="B53" t="s">
        <v>122</v>
      </c>
      <c r="C53" t="s">
        <v>21</v>
      </c>
      <c r="D53">
        <v>7779714</v>
      </c>
      <c r="E53" t="s">
        <v>123</v>
      </c>
      <c r="F53" t="s">
        <v>124</v>
      </c>
      <c r="G53">
        <v>7747663</v>
      </c>
      <c r="H53">
        <f t="shared" si="0"/>
        <v>32051</v>
      </c>
      <c r="I53">
        <f t="shared" si="1"/>
        <v>4.5058415841733002</v>
      </c>
      <c r="J53">
        <f t="shared" si="2"/>
        <v>0</v>
      </c>
    </row>
    <row r="54" spans="1:10" x14ac:dyDescent="0.25">
      <c r="A54" t="s">
        <v>12</v>
      </c>
      <c r="B54" t="s">
        <v>13</v>
      </c>
      <c r="C54" t="s">
        <v>6</v>
      </c>
      <c r="D54">
        <v>11130694</v>
      </c>
      <c r="E54" t="s">
        <v>14</v>
      </c>
      <c r="F54" t="s">
        <v>14</v>
      </c>
      <c r="G54">
        <v>11134531</v>
      </c>
      <c r="H54">
        <f t="shared" si="0"/>
        <v>3837</v>
      </c>
      <c r="I54">
        <f t="shared" si="1"/>
        <v>3.5839917991983166</v>
      </c>
      <c r="J54">
        <f t="shared" si="2"/>
        <v>3837</v>
      </c>
    </row>
    <row r="55" spans="1:10" x14ac:dyDescent="0.25">
      <c r="A55" t="s">
        <v>55</v>
      </c>
      <c r="B55" t="s">
        <v>62</v>
      </c>
      <c r="C55" t="s">
        <v>6</v>
      </c>
      <c r="D55">
        <v>28155288</v>
      </c>
      <c r="E55" t="s">
        <v>63</v>
      </c>
      <c r="F55" t="s">
        <v>63</v>
      </c>
      <c r="G55">
        <v>28127952</v>
      </c>
      <c r="H55">
        <f t="shared" si="0"/>
        <v>27336</v>
      </c>
      <c r="I55">
        <f t="shared" si="1"/>
        <v>4.4367349657907065</v>
      </c>
      <c r="J55">
        <f t="shared" si="2"/>
        <v>0</v>
      </c>
    </row>
    <row r="56" spans="1:10" x14ac:dyDescent="0.25">
      <c r="A56" t="s">
        <v>4</v>
      </c>
      <c r="B56" t="s">
        <v>8</v>
      </c>
      <c r="C56" t="s">
        <v>9</v>
      </c>
      <c r="D56">
        <v>7192018</v>
      </c>
      <c r="E56" t="s">
        <v>10</v>
      </c>
      <c r="F56" t="s">
        <v>11</v>
      </c>
      <c r="G56">
        <v>7192906</v>
      </c>
      <c r="H56">
        <f t="shared" si="0"/>
        <v>888</v>
      </c>
      <c r="I56">
        <f t="shared" si="1"/>
        <v>2.9484129657786009</v>
      </c>
      <c r="J56">
        <f t="shared" si="2"/>
        <v>888</v>
      </c>
    </row>
    <row r="57" spans="1:10" x14ac:dyDescent="0.25">
      <c r="A57" t="s">
        <v>118</v>
      </c>
      <c r="B57" t="s">
        <v>127</v>
      </c>
      <c r="C57" t="s">
        <v>6</v>
      </c>
      <c r="D57">
        <v>10103101</v>
      </c>
      <c r="E57" t="s">
        <v>128</v>
      </c>
      <c r="F57" t="s">
        <v>128</v>
      </c>
      <c r="G57">
        <v>10051980</v>
      </c>
      <c r="H57">
        <f t="shared" si="0"/>
        <v>51121</v>
      </c>
      <c r="I57">
        <f t="shared" si="1"/>
        <v>4.7085993406557067</v>
      </c>
      <c r="J57">
        <f t="shared" si="2"/>
        <v>0</v>
      </c>
    </row>
    <row r="58" spans="1:10" x14ac:dyDescent="0.25">
      <c r="A58" t="s">
        <v>118</v>
      </c>
      <c r="B58" t="s">
        <v>127</v>
      </c>
      <c r="C58" t="s">
        <v>21</v>
      </c>
      <c r="D58">
        <v>10124701</v>
      </c>
      <c r="E58" t="s">
        <v>57</v>
      </c>
      <c r="F58" t="s">
        <v>58</v>
      </c>
      <c r="G58">
        <v>10051980</v>
      </c>
      <c r="H58">
        <f t="shared" si="0"/>
        <v>72721</v>
      </c>
      <c r="I58">
        <f t="shared" si="1"/>
        <v>4.8616598423191899</v>
      </c>
      <c r="J58">
        <f t="shared" si="2"/>
        <v>0</v>
      </c>
    </row>
    <row r="59" spans="1:10" x14ac:dyDescent="0.25">
      <c r="A59" t="s">
        <v>19</v>
      </c>
      <c r="B59" t="s">
        <v>30</v>
      </c>
      <c r="C59" t="s">
        <v>9</v>
      </c>
      <c r="D59">
        <v>74087850</v>
      </c>
      <c r="E59" t="s">
        <v>35</v>
      </c>
      <c r="F59" t="s">
        <v>36</v>
      </c>
      <c r="G59">
        <v>74084192</v>
      </c>
      <c r="H59">
        <f t="shared" si="0"/>
        <v>3658</v>
      </c>
      <c r="I59">
        <f t="shared" si="1"/>
        <v>3.5632437011403981</v>
      </c>
      <c r="J59">
        <f t="shared" si="2"/>
        <v>3658</v>
      </c>
    </row>
    <row r="60" spans="1:10" x14ac:dyDescent="0.25">
      <c r="A60" t="s">
        <v>19</v>
      </c>
      <c r="B60" t="s">
        <v>30</v>
      </c>
      <c r="C60" t="s">
        <v>9</v>
      </c>
      <c r="D60">
        <v>74087861</v>
      </c>
      <c r="E60" t="s">
        <v>33</v>
      </c>
      <c r="F60" t="s">
        <v>34</v>
      </c>
      <c r="G60">
        <v>74084192</v>
      </c>
      <c r="H60">
        <f t="shared" si="0"/>
        <v>3669</v>
      </c>
      <c r="I60">
        <f t="shared" si="1"/>
        <v>3.5645477117559481</v>
      </c>
      <c r="J60">
        <f t="shared" si="2"/>
        <v>3669</v>
      </c>
    </row>
    <row r="61" spans="1:10" x14ac:dyDescent="0.25">
      <c r="A61" t="s">
        <v>19</v>
      </c>
      <c r="B61" t="s">
        <v>30</v>
      </c>
      <c r="C61" t="s">
        <v>21</v>
      </c>
      <c r="D61">
        <v>74089533</v>
      </c>
      <c r="E61" t="s">
        <v>31</v>
      </c>
      <c r="F61" t="s">
        <v>32</v>
      </c>
      <c r="G61">
        <v>74084192</v>
      </c>
      <c r="H61">
        <f t="shared" si="0"/>
        <v>5341</v>
      </c>
      <c r="I61">
        <f t="shared" si="1"/>
        <v>3.7276225779691372</v>
      </c>
      <c r="J61">
        <f t="shared" si="2"/>
        <v>5341</v>
      </c>
    </row>
    <row r="62" spans="1:10" x14ac:dyDescent="0.25">
      <c r="A62" t="s">
        <v>46</v>
      </c>
      <c r="B62" t="s">
        <v>49</v>
      </c>
      <c r="C62" t="s">
        <v>24</v>
      </c>
      <c r="D62">
        <v>29549219</v>
      </c>
      <c r="E62" t="s">
        <v>50</v>
      </c>
      <c r="F62" t="s">
        <v>51</v>
      </c>
      <c r="G62">
        <v>29528385</v>
      </c>
      <c r="H62">
        <f t="shared" si="0"/>
        <v>20834</v>
      </c>
      <c r="I62">
        <f t="shared" si="1"/>
        <v>4.3187726598254796</v>
      </c>
      <c r="J62">
        <f t="shared" si="2"/>
        <v>0</v>
      </c>
    </row>
    <row r="63" spans="1:10" x14ac:dyDescent="0.25">
      <c r="A63" t="s">
        <v>55</v>
      </c>
      <c r="B63" t="s">
        <v>64</v>
      </c>
      <c r="C63" t="s">
        <v>24</v>
      </c>
      <c r="D63">
        <v>28158091</v>
      </c>
      <c r="E63" t="s">
        <v>65</v>
      </c>
      <c r="F63" t="s">
        <v>66</v>
      </c>
      <c r="G63">
        <v>28127952</v>
      </c>
      <c r="H63">
        <f t="shared" si="0"/>
        <v>30139</v>
      </c>
      <c r="I63">
        <f t="shared" si="1"/>
        <v>4.4791288384999577</v>
      </c>
      <c r="J63">
        <f t="shared" si="2"/>
        <v>0</v>
      </c>
    </row>
  </sheetData>
  <autoFilter ref="A1:J63" xr:uid="{00000000-0001-0000-0000-000000000000}"/>
  <sortState xmlns:xlrd2="http://schemas.microsoft.com/office/spreadsheetml/2017/richdata2" ref="A2:F63">
    <sortCondition ref="A2:A63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Sheet1!RAREdar_Results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z270p-d3</cp:lastModifiedBy>
  <dcterms:created xsi:type="dcterms:W3CDTF">2022-11-24T00:41:38Z</dcterms:created>
  <dcterms:modified xsi:type="dcterms:W3CDTF">2022-12-01T00:45:11Z</dcterms:modified>
</cp:coreProperties>
</file>